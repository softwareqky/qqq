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3905" windowHeight="315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4" i="1"/>
  <c r="B25" i="1"/>
  <c r="B26" i="1"/>
  <c r="B27" i="1"/>
  <c r="B28" i="1"/>
  <c r="B29" i="1"/>
  <c r="B18" i="1"/>
  <c r="B1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1" i="1" l="1"/>
  <c r="B20" i="1"/>
  <c r="B22" i="1"/>
  <c r="B17" i="1" l="1"/>
</calcChain>
</file>

<file path=xl/sharedStrings.xml><?xml version="1.0" encoding="utf-8"?>
<sst xmlns="http://schemas.openxmlformats.org/spreadsheetml/2006/main" count="264" uniqueCount="104">
  <si>
    <t>widget:textbox,sortable:1</t>
  </si>
  <si>
    <t>项目经理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</si>
  <si>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</si>
  <si>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</si>
  <si>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</si>
  <si>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</si>
  <si>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</si>
  <si>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</si>
  <si>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</si>
  <si>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</si>
  <si>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</si>
  <si>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</si>
  <si>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</si>
  <si>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</si>
  <si>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</si>
  <si>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</si>
  <si>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</si>
  <si>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</si>
  <si>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</si>
  <si>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</si>
  <si>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</si>
  <si>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</si>
  <si>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</si>
  <si>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</si>
  <si>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</si>
  <si>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</si>
  <si>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</si>
  <si>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</si>
  <si>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</si>
  <si>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</si>
  <si>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</si>
  <si>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</si>
  <si>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</si>
  <si>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</si>
  <si>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</si>
  <si>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</si>
  <si>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</si>
  <si>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</si>
  <si>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</si>
  <si>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projectManager</t>
    <phoneticPr fontId="1" type="noConversion"/>
  </si>
  <si>
    <t>0,999999,2</t>
    <phoneticPr fontId="1" type="noConversion"/>
  </si>
  <si>
    <t>widget:numberbox,sortable:1</t>
    <phoneticPr fontId="1" type="noConversion"/>
  </si>
  <si>
    <t>垫资周期</t>
    <phoneticPr fontId="1" type="noConversion"/>
  </si>
  <si>
    <t>advanceCycle</t>
    <phoneticPr fontId="1" type="noConversion"/>
  </si>
  <si>
    <t>advanceFundsAmount</t>
    <phoneticPr fontId="1" type="noConversion"/>
  </si>
  <si>
    <t>profitMargin</t>
    <phoneticPr fontId="1" type="noConversion"/>
  </si>
  <si>
    <t>利润率</t>
    <phoneticPr fontId="1" type="noConversion"/>
  </si>
  <si>
    <t>垫资金额</t>
    <phoneticPr fontId="1" type="noConversion"/>
  </si>
  <si>
    <t>projectManager</t>
    <phoneticPr fontId="1" type="noConversion"/>
  </si>
  <si>
    <t>advanceCycle</t>
    <phoneticPr fontId="1" type="noConversion"/>
  </si>
  <si>
    <t>advanceFundsAmount</t>
    <phoneticPr fontId="1" type="noConversion"/>
  </si>
  <si>
    <t>申请日期</t>
    <phoneticPr fontId="4" type="noConversion"/>
  </si>
  <si>
    <t>投标小组组长</t>
    <phoneticPr fontId="4" type="noConversion"/>
  </si>
  <si>
    <t>是否自行投标</t>
    <phoneticPr fontId="4" type="noConversion"/>
  </si>
  <si>
    <t>投标支持</t>
    <phoneticPr fontId="4" type="noConversion"/>
  </si>
  <si>
    <t>逆用投标经理</t>
    <phoneticPr fontId="4" type="noConversion"/>
  </si>
  <si>
    <t>竞争对手</t>
    <phoneticPr fontId="4" type="noConversion"/>
  </si>
  <si>
    <t>开标日期</t>
    <phoneticPr fontId="4" type="noConversion"/>
  </si>
  <si>
    <t>最高限价</t>
    <phoneticPr fontId="4" type="noConversion"/>
  </si>
  <si>
    <t>单位</t>
    <phoneticPr fontId="4" type="noConversion"/>
  </si>
  <si>
    <t>报价</t>
    <phoneticPr fontId="4" type="noConversion"/>
  </si>
  <si>
    <t>评标方法</t>
    <phoneticPr fontId="4" type="noConversion"/>
  </si>
  <si>
    <t>参考价</t>
    <phoneticPr fontId="4" type="noConversion"/>
  </si>
  <si>
    <t>投标答疑日期</t>
    <phoneticPr fontId="4" type="noConversion"/>
  </si>
  <si>
    <t>投标保证金</t>
    <phoneticPr fontId="4" type="noConversion"/>
  </si>
  <si>
    <t>缴费方式</t>
    <phoneticPr fontId="4" type="noConversion"/>
  </si>
  <si>
    <t>现场勘察日期</t>
    <phoneticPr fontId="4" type="noConversion"/>
  </si>
  <si>
    <t>阅知人</t>
    <phoneticPr fontId="4" type="noConversion"/>
  </si>
  <si>
    <t>标书申请人</t>
    <phoneticPr fontId="4" type="noConversion"/>
  </si>
  <si>
    <t>投标结果</t>
    <phoneticPr fontId="4" type="noConversion"/>
  </si>
  <si>
    <t>中标金额</t>
    <phoneticPr fontId="4" type="noConversion"/>
  </si>
  <si>
    <t>现场费内容</t>
    <phoneticPr fontId="4" type="noConversion"/>
  </si>
  <si>
    <t>标书内容</t>
    <phoneticPr fontId="4" type="noConversion"/>
  </si>
  <si>
    <t>投标策略</t>
    <phoneticPr fontId="4" type="noConversion"/>
  </si>
  <si>
    <t>相关标书</t>
    <phoneticPr fontId="4" type="noConversion"/>
  </si>
  <si>
    <t>BIDDING_MANAGEMENT_RECORD</t>
    <phoneticPr fontId="4" type="noConversion"/>
  </si>
  <si>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</si>
  <si>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</si>
  <si>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</si>
  <si>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</si>
  <si>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</si>
  <si>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</si>
  <si>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</si>
  <si>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</si>
  <si>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</si>
  <si>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f11</t>
  </si>
  <si>
    <t>f12</t>
  </si>
  <si>
    <t>f13</t>
  </si>
  <si>
    <t>f14</t>
  </si>
  <si>
    <t>f15</t>
  </si>
  <si>
    <t>f16</t>
    <phoneticPr fontId="4" type="noConversion"/>
  </si>
  <si>
    <t>f17</t>
  </si>
  <si>
    <t>f18</t>
  </si>
  <si>
    <t>f19</t>
  </si>
  <si>
    <t>f20</t>
  </si>
  <si>
    <t>f21</t>
  </si>
  <si>
    <t>f22</t>
  </si>
  <si>
    <t>f23</t>
  </si>
  <si>
    <t>widget:textbox,sortable:1,multiline:1,width:635</t>
    <phoneticPr fontId="1" type="noConversion"/>
  </si>
  <si>
    <t>widget:filebox,sortable:1,buttonText:浏览</t>
    <phoneticPr fontId="4" type="noConversion"/>
  </si>
  <si>
    <t>widget:datebox,sortable:1</t>
    <phoneticPr fontId="4" type="noConversion"/>
  </si>
  <si>
    <t>widget:datebox,sortable:1</t>
    <phoneticPr fontId="4" type="noConversion"/>
  </si>
  <si>
    <t>投标信息</t>
    <phoneticPr fontId="4" type="noConversion"/>
  </si>
  <si>
    <t>projectCost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</si>
</sst>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/>
    <xf numFmtId="3" fontId="3" fillId="0" borderId="1" xfId="1" quotePrefix="1" applyNumberFormat="1" applyFont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0" applyFont="1" applyFill="1" applyBorder="1"/>
    <xf numFmtId="0" fontId="3" fillId="0" borderId="1" xfId="1" applyFont="1" applyFill="1" applyBorder="1" applyAlignment="1">
      <alignment wrapText="1"/>
    </xf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defaultRowHeight="13.5"/>
  <cols>
    <col min="1" max="1" width="12.375" bestFit="1" customWidth="1"/>
    <col min="2" max="2" width="34" customWidth="1"/>
    <col min="3" max="3" width="26.375" customWidth="1"/>
    <col min="4" max="4" width="20" bestFit="1" customWidth="1"/>
    <col min="5" max="5" width="23.875" bestFit="1" customWidth="1"/>
    <col min="6" max="6" width="36.5" bestFit="1" customWidth="1"/>
    <col min="7" max="8" width="8" bestFit="1" customWidth="1"/>
    <col min="9" max="12" width="11.375" bestFit="1" customWidth="1"/>
    <col min="13" max="13" width="8" bestFit="1" customWidth="1"/>
    <col min="14" max="14" width="15" bestFit="1" customWidth="1"/>
    <col min="15" max="17" width="8" bestFit="1" customWidth="1"/>
    <col min="18" max="18" width="11.375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5.8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3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2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</row>
    <row r="2" spans="1:36">
      <c r="A2" s="3" t="s">
        <v>51</v>
      </c>
      <c r="B2" s="4" t="str">
        <f t="shared" ref="B2:B19" si="0">C2&amp;"."&amp;D2</f>
        <v>BIDDING_MANAGEMENT_RECORD.f1</v>
      </c>
      <c r="C2" s="4" t="s">
        <v>75</v>
      </c>
      <c r="D2" s="4" t="s">
        <v>76</v>
      </c>
      <c r="E2" s="4" t="s">
        <v>76</v>
      </c>
      <c r="F2" s="3" t="s">
        <v>51</v>
      </c>
      <c r="G2" s="4">
        <v>0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0</v>
      </c>
      <c r="N2" s="4">
        <v>0</v>
      </c>
      <c r="O2" s="4"/>
      <c r="P2" s="4"/>
      <c r="Q2" s="4"/>
      <c r="R2" s="4"/>
      <c r="S2" s="4">
        <v>4</v>
      </c>
      <c r="T2" s="4">
        <v>50</v>
      </c>
      <c r="U2" s="4">
        <v>0</v>
      </c>
      <c r="V2" s="4"/>
      <c r="W2" s="11" t="s">
        <v>100</v>
      </c>
      <c r="X2" s="4">
        <v>0</v>
      </c>
      <c r="Y2" s="1">
        <v>4</v>
      </c>
      <c r="Z2" s="4" t="s">
        <v>102</v>
      </c>
      <c r="AA2" s="4">
        <v>2</v>
      </c>
      <c r="AB2" s="4">
        <v>20001</v>
      </c>
      <c r="AC2" s="4"/>
      <c r="AD2" s="9" t="s">
        <v>38</v>
      </c>
      <c r="AE2" s="9"/>
      <c r="AF2" s="4"/>
      <c r="AG2" s="4">
        <v>0</v>
      </c>
      <c r="AH2" s="4"/>
      <c r="AI2" s="4">
        <v>1</v>
      </c>
      <c r="AJ2" s="4"/>
    </row>
    <row r="3" spans="1:36">
      <c r="A3" s="3" t="s">
        <v>52</v>
      </c>
      <c r="B3" s="4" t="str">
        <f t="shared" si="0"/>
        <v>BIDDING_MANAGEMENT_RECORD.f2</v>
      </c>
      <c r="C3" s="4" t="s">
        <v>75</v>
      </c>
      <c r="D3" s="4" t="s">
        <v>77</v>
      </c>
      <c r="E3" s="4" t="s">
        <v>77</v>
      </c>
      <c r="F3" s="3" t="s">
        <v>52</v>
      </c>
      <c r="G3" s="4">
        <v>0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/>
      <c r="P3" s="4"/>
      <c r="Q3" s="4"/>
      <c r="R3" s="4"/>
      <c r="S3" s="4">
        <v>4</v>
      </c>
      <c r="T3" s="4">
        <v>50</v>
      </c>
      <c r="U3" s="4">
        <v>0</v>
      </c>
      <c r="V3" s="4"/>
      <c r="W3" s="11" t="s">
        <v>0</v>
      </c>
      <c r="X3" s="4">
        <v>0</v>
      </c>
      <c r="Y3" s="1">
        <v>4</v>
      </c>
      <c r="Z3" s="4" t="s">
        <v>102</v>
      </c>
      <c r="AA3" s="4">
        <v>2</v>
      </c>
      <c r="AB3" s="4">
        <v>20002</v>
      </c>
      <c r="AC3" s="4"/>
      <c r="AD3" s="9" t="s">
        <v>38</v>
      </c>
      <c r="AE3" s="9"/>
      <c r="AF3" s="4"/>
      <c r="AG3" s="4">
        <v>0</v>
      </c>
      <c r="AH3" s="4"/>
      <c r="AI3" s="4">
        <v>0</v>
      </c>
      <c r="AJ3" s="4"/>
    </row>
    <row r="4" spans="1:36">
      <c r="A4" s="3" t="s">
        <v>53</v>
      </c>
      <c r="B4" s="4" t="str">
        <f t="shared" si="0"/>
        <v>BIDDING_MANAGEMENT_RECORD.f3</v>
      </c>
      <c r="C4" s="4" t="s">
        <v>75</v>
      </c>
      <c r="D4" s="4" t="s">
        <v>78</v>
      </c>
      <c r="E4" s="4" t="s">
        <v>78</v>
      </c>
      <c r="F4" s="3" t="s">
        <v>53</v>
      </c>
      <c r="G4" s="4">
        <v>0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/>
      <c r="P4" s="4"/>
      <c r="Q4" s="4"/>
      <c r="R4" s="4"/>
      <c r="S4" s="4">
        <v>4</v>
      </c>
      <c r="T4" s="4">
        <v>50</v>
      </c>
      <c r="U4" s="4">
        <v>0</v>
      </c>
      <c r="V4" s="4"/>
      <c r="W4" s="11" t="s">
        <v>0</v>
      </c>
      <c r="X4" s="4">
        <v>0</v>
      </c>
      <c r="Y4" s="1">
        <v>4</v>
      </c>
      <c r="Z4" s="4" t="s">
        <v>102</v>
      </c>
      <c r="AA4" s="4">
        <v>2</v>
      </c>
      <c r="AB4" s="4">
        <v>20003</v>
      </c>
      <c r="AC4" s="4"/>
      <c r="AD4" s="9" t="s">
        <v>38</v>
      </c>
      <c r="AE4" s="9"/>
      <c r="AF4" s="4"/>
      <c r="AG4" s="4">
        <v>0</v>
      </c>
      <c r="AH4" s="4"/>
      <c r="AI4" s="4">
        <v>0</v>
      </c>
      <c r="AJ4" s="4"/>
    </row>
    <row r="5" spans="1:36">
      <c r="A5" s="3" t="s">
        <v>54</v>
      </c>
      <c r="B5" s="4" t="str">
        <f t="shared" si="0"/>
        <v>BIDDING_MANAGEMENT_RECORD.f4</v>
      </c>
      <c r="C5" s="4" t="s">
        <v>75</v>
      </c>
      <c r="D5" s="4" t="s">
        <v>79</v>
      </c>
      <c r="E5" s="4" t="s">
        <v>79</v>
      </c>
      <c r="F5" s="3" t="s">
        <v>54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/>
      <c r="P5" s="4"/>
      <c r="Q5" s="4"/>
      <c r="R5" s="4"/>
      <c r="S5" s="4">
        <v>4</v>
      </c>
      <c r="T5" s="4">
        <v>50</v>
      </c>
      <c r="U5" s="4">
        <v>0</v>
      </c>
      <c r="V5" s="4"/>
      <c r="W5" s="11" t="s">
        <v>0</v>
      </c>
      <c r="X5" s="4">
        <v>0</v>
      </c>
      <c r="Y5" s="1">
        <v>4</v>
      </c>
      <c r="Z5" s="4" t="s">
        <v>102</v>
      </c>
      <c r="AA5" s="4">
        <v>2</v>
      </c>
      <c r="AB5" s="4">
        <v>20004</v>
      </c>
      <c r="AC5" s="4"/>
      <c r="AD5" s="9" t="s">
        <v>38</v>
      </c>
      <c r="AE5" s="9"/>
      <c r="AF5" s="4"/>
      <c r="AG5" s="4">
        <v>0</v>
      </c>
      <c r="AH5" s="4"/>
      <c r="AI5" s="4">
        <v>0</v>
      </c>
      <c r="AJ5" s="4"/>
    </row>
    <row r="6" spans="1:36">
      <c r="A6" s="3" t="s">
        <v>55</v>
      </c>
      <c r="B6" s="4" t="str">
        <f t="shared" si="0"/>
        <v>BIDDING_MANAGEMENT_RECORD.f5</v>
      </c>
      <c r="C6" s="4" t="s">
        <v>75</v>
      </c>
      <c r="D6" s="4" t="s">
        <v>80</v>
      </c>
      <c r="E6" s="4" t="s">
        <v>80</v>
      </c>
      <c r="F6" s="3" t="s">
        <v>55</v>
      </c>
      <c r="G6" s="4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4"/>
      <c r="P6" s="4"/>
      <c r="Q6" s="4"/>
      <c r="R6" s="4"/>
      <c r="S6" s="4">
        <v>4</v>
      </c>
      <c r="T6" s="4">
        <v>50</v>
      </c>
      <c r="U6" s="4">
        <v>0</v>
      </c>
      <c r="V6" s="4"/>
      <c r="W6" s="11" t="s">
        <v>0</v>
      </c>
      <c r="X6" s="4">
        <v>0</v>
      </c>
      <c r="Y6" s="1">
        <v>4</v>
      </c>
      <c r="Z6" s="4" t="s">
        <v>102</v>
      </c>
      <c r="AA6" s="4">
        <v>2</v>
      </c>
      <c r="AB6" s="4">
        <v>20005</v>
      </c>
      <c r="AC6" s="4"/>
      <c r="AD6" s="9" t="s">
        <v>38</v>
      </c>
      <c r="AE6" s="9"/>
      <c r="AF6" s="4"/>
      <c r="AG6" s="4">
        <v>0</v>
      </c>
      <c r="AH6" s="4"/>
      <c r="AI6" s="4">
        <v>0</v>
      </c>
      <c r="AJ6" s="4"/>
    </row>
    <row r="7" spans="1:36">
      <c r="A7" s="3" t="s">
        <v>56</v>
      </c>
      <c r="B7" s="4" t="str">
        <f t="shared" si="0"/>
        <v>BIDDING_MANAGEMENT_RECORD.f6</v>
      </c>
      <c r="C7" s="4" t="s">
        <v>75</v>
      </c>
      <c r="D7" s="4" t="s">
        <v>81</v>
      </c>
      <c r="E7" s="4" t="s">
        <v>81</v>
      </c>
      <c r="F7" s="3" t="s">
        <v>56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/>
      <c r="P7" s="4"/>
      <c r="Q7" s="4"/>
      <c r="R7" s="4"/>
      <c r="S7" s="4">
        <v>4</v>
      </c>
      <c r="T7" s="4">
        <v>50</v>
      </c>
      <c r="U7" s="4">
        <v>0</v>
      </c>
      <c r="V7" s="4"/>
      <c r="W7" s="11" t="s">
        <v>0</v>
      </c>
      <c r="X7" s="4">
        <v>0</v>
      </c>
      <c r="Y7" s="1">
        <v>4</v>
      </c>
      <c r="Z7" s="4" t="s">
        <v>102</v>
      </c>
      <c r="AA7" s="4">
        <v>2</v>
      </c>
      <c r="AB7" s="4">
        <v>20006</v>
      </c>
      <c r="AC7" s="4"/>
      <c r="AD7" s="9" t="s">
        <v>38</v>
      </c>
      <c r="AE7" s="9"/>
      <c r="AF7" s="4"/>
      <c r="AG7" s="4">
        <v>0</v>
      </c>
      <c r="AH7" s="4"/>
      <c r="AI7" s="4">
        <v>0</v>
      </c>
      <c r="AJ7" s="4"/>
    </row>
    <row r="8" spans="1:36">
      <c r="A8" s="3" t="s">
        <v>57</v>
      </c>
      <c r="B8" s="4" t="str">
        <f t="shared" si="0"/>
        <v>BIDDING_MANAGEMENT_RECORD.f7</v>
      </c>
      <c r="C8" s="4" t="s">
        <v>75</v>
      </c>
      <c r="D8" s="4" t="s">
        <v>82</v>
      </c>
      <c r="E8" s="4" t="s">
        <v>82</v>
      </c>
      <c r="F8" s="3" t="s">
        <v>57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/>
      <c r="P8" s="4"/>
      <c r="Q8" s="4"/>
      <c r="R8" s="4"/>
      <c r="S8" s="4">
        <v>4</v>
      </c>
      <c r="T8" s="4">
        <v>50</v>
      </c>
      <c r="U8" s="4">
        <v>0</v>
      </c>
      <c r="V8" s="4"/>
      <c r="W8" s="7" t="s">
        <v>101</v>
      </c>
      <c r="X8" s="4">
        <v>0</v>
      </c>
      <c r="Y8" s="1">
        <v>4</v>
      </c>
      <c r="Z8" s="4" t="s">
        <v>102</v>
      </c>
      <c r="AA8" s="4">
        <v>2</v>
      </c>
      <c r="AB8" s="4">
        <v>20007</v>
      </c>
      <c r="AC8" s="4"/>
      <c r="AD8" s="9" t="s">
        <v>38</v>
      </c>
      <c r="AE8" s="9"/>
      <c r="AF8" s="4"/>
      <c r="AG8" s="4">
        <v>0</v>
      </c>
      <c r="AH8" s="4"/>
      <c r="AI8" s="4">
        <v>0</v>
      </c>
      <c r="AJ8" s="4"/>
    </row>
    <row r="9" spans="1:36">
      <c r="A9" s="3" t="s">
        <v>58</v>
      </c>
      <c r="B9" s="4" t="str">
        <f t="shared" si="0"/>
        <v>BIDDING_MANAGEMENT_RECORD.f8</v>
      </c>
      <c r="C9" s="4" t="s">
        <v>75</v>
      </c>
      <c r="D9" s="4" t="s">
        <v>83</v>
      </c>
      <c r="E9" s="4" t="s">
        <v>83</v>
      </c>
      <c r="F9" s="3" t="s">
        <v>58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/>
      <c r="P9" s="4"/>
      <c r="Q9" s="4"/>
      <c r="R9" s="4"/>
      <c r="S9" s="4">
        <v>4</v>
      </c>
      <c r="T9" s="4">
        <v>50</v>
      </c>
      <c r="U9" s="4">
        <v>0</v>
      </c>
      <c r="V9" s="4"/>
      <c r="W9" s="11" t="s">
        <v>0</v>
      </c>
      <c r="X9" s="4">
        <v>0</v>
      </c>
      <c r="Y9" s="1">
        <v>4</v>
      </c>
      <c r="Z9" s="4" t="s">
        <v>102</v>
      </c>
      <c r="AA9" s="4">
        <v>2</v>
      </c>
      <c r="AB9" s="4">
        <v>20008</v>
      </c>
      <c r="AC9" s="4"/>
      <c r="AD9" s="9" t="s">
        <v>38</v>
      </c>
      <c r="AE9" s="9"/>
      <c r="AF9" s="4"/>
      <c r="AG9" s="4">
        <v>0</v>
      </c>
      <c r="AH9" s="4"/>
      <c r="AI9" s="4">
        <v>0</v>
      </c>
      <c r="AJ9" s="4"/>
    </row>
    <row r="10" spans="1:36">
      <c r="A10" s="3" t="s">
        <v>59</v>
      </c>
      <c r="B10" s="4" t="str">
        <f t="shared" si="0"/>
        <v>BIDDING_MANAGEMENT_RECORD.f9</v>
      </c>
      <c r="C10" s="4" t="s">
        <v>75</v>
      </c>
      <c r="D10" s="4" t="s">
        <v>84</v>
      </c>
      <c r="E10" s="4" t="s">
        <v>84</v>
      </c>
      <c r="F10" s="3" t="s">
        <v>59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/>
      <c r="P10" s="4"/>
      <c r="Q10" s="4"/>
      <c r="R10" s="4"/>
      <c r="S10" s="4">
        <v>4</v>
      </c>
      <c r="T10" s="4">
        <v>50</v>
      </c>
      <c r="U10" s="4">
        <v>0</v>
      </c>
      <c r="V10" s="4"/>
      <c r="W10" s="11" t="s">
        <v>0</v>
      </c>
      <c r="X10" s="4">
        <v>0</v>
      </c>
      <c r="Y10" s="1">
        <v>4</v>
      </c>
      <c r="Z10" s="4" t="s">
        <v>102</v>
      </c>
      <c r="AA10" s="4">
        <v>2</v>
      </c>
      <c r="AB10" s="4">
        <v>20009</v>
      </c>
      <c r="AC10" s="4"/>
      <c r="AD10" s="9" t="s">
        <v>38</v>
      </c>
      <c r="AE10" s="9"/>
      <c r="AF10" s="4"/>
      <c r="AG10" s="4">
        <v>0</v>
      </c>
      <c r="AH10" s="4"/>
      <c r="AI10" s="4">
        <v>0</v>
      </c>
      <c r="AJ10" s="4"/>
    </row>
    <row r="11" spans="1:36">
      <c r="A11" s="3" t="s">
        <v>60</v>
      </c>
      <c r="B11" s="4" t="str">
        <f t="shared" si="0"/>
        <v>BIDDING_MANAGEMENT_RECORD.projectCost</v>
      </c>
      <c r="C11" s="4" t="s">
        <v>75</v>
      </c>
      <c r="D11" s="4" t="s">
        <v>103</v>
      </c>
      <c r="E11" s="4" t="s">
        <v>103</v>
      </c>
      <c r="F11" s="3" t="s">
        <v>60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/>
      <c r="P11" s="4"/>
      <c r="Q11" s="4"/>
      <c r="R11" s="4"/>
      <c r="S11" s="4">
        <v>4</v>
      </c>
      <c r="T11" s="4">
        <v>50</v>
      </c>
      <c r="U11" s="4">
        <v>0</v>
      </c>
      <c r="V11" s="4"/>
      <c r="W11" s="11" t="s">
        <v>0</v>
      </c>
      <c r="X11" s="4">
        <v>0</v>
      </c>
      <c r="Y11" s="1">
        <v>4</v>
      </c>
      <c r="Z11" s="4" t="s">
        <v>102</v>
      </c>
      <c r="AA11" s="4">
        <v>2</v>
      </c>
      <c r="AB11" s="4">
        <v>20010</v>
      </c>
      <c r="AC11" s="4"/>
      <c r="AD11" s="9" t="s">
        <v>38</v>
      </c>
      <c r="AE11" s="9"/>
      <c r="AF11" s="4"/>
      <c r="AG11" s="4">
        <v>0</v>
      </c>
      <c r="AH11" s="4"/>
      <c r="AI11" s="4">
        <v>0</v>
      </c>
      <c r="AJ11" s="4"/>
    </row>
    <row r="12" spans="1:36">
      <c r="A12" s="3" t="s">
        <v>61</v>
      </c>
      <c r="B12" s="4" t="str">
        <f t="shared" si="0"/>
        <v>BIDDING_MANAGEMENT_RECORD.f11</v>
      </c>
      <c r="C12" s="4" t="s">
        <v>75</v>
      </c>
      <c r="D12" s="4" t="s">
        <v>85</v>
      </c>
      <c r="E12" s="4" t="s">
        <v>85</v>
      </c>
      <c r="F12" s="3" t="s">
        <v>61</v>
      </c>
      <c r="G12" s="4">
        <v>0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0</v>
      </c>
      <c r="N12" s="4">
        <v>0</v>
      </c>
      <c r="O12" s="4"/>
      <c r="P12" s="4"/>
      <c r="Q12" s="4"/>
      <c r="R12" s="4"/>
      <c r="S12" s="4">
        <v>4</v>
      </c>
      <c r="T12" s="4">
        <v>50</v>
      </c>
      <c r="U12" s="4">
        <v>0</v>
      </c>
      <c r="V12" s="4"/>
      <c r="W12" s="11" t="s">
        <v>0</v>
      </c>
      <c r="X12" s="4">
        <v>0</v>
      </c>
      <c r="Y12" s="1">
        <v>4</v>
      </c>
      <c r="Z12" s="4" t="s">
        <v>102</v>
      </c>
      <c r="AA12" s="4">
        <v>2</v>
      </c>
      <c r="AB12" s="4">
        <v>20011</v>
      </c>
      <c r="AC12" s="4"/>
      <c r="AD12" s="9" t="s">
        <v>38</v>
      </c>
      <c r="AE12" s="9"/>
      <c r="AF12" s="4"/>
      <c r="AG12" s="4">
        <v>0</v>
      </c>
      <c r="AH12" s="4"/>
      <c r="AI12" s="4">
        <v>0</v>
      </c>
      <c r="AJ12" s="4"/>
    </row>
    <row r="13" spans="1:36">
      <c r="A13" s="3" t="s">
        <v>62</v>
      </c>
      <c r="B13" s="4" t="str">
        <f t="shared" si="0"/>
        <v>BIDDING_MANAGEMENT_RECORD.f12</v>
      </c>
      <c r="C13" s="4" t="s">
        <v>75</v>
      </c>
      <c r="D13" s="4" t="s">
        <v>86</v>
      </c>
      <c r="E13" s="4" t="s">
        <v>86</v>
      </c>
      <c r="F13" s="3" t="s">
        <v>62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0</v>
      </c>
      <c r="O13" s="4"/>
      <c r="P13" s="4"/>
      <c r="Q13" s="4"/>
      <c r="R13" s="4"/>
      <c r="S13" s="4">
        <v>4</v>
      </c>
      <c r="T13" s="4">
        <v>50</v>
      </c>
      <c r="U13" s="4">
        <v>0</v>
      </c>
      <c r="V13" s="4"/>
      <c r="W13" s="11" t="s">
        <v>0</v>
      </c>
      <c r="X13" s="4">
        <v>0</v>
      </c>
      <c r="Y13" s="1">
        <v>4</v>
      </c>
      <c r="Z13" s="4" t="s">
        <v>102</v>
      </c>
      <c r="AA13" s="4">
        <v>2</v>
      </c>
      <c r="AB13" s="4">
        <v>20012</v>
      </c>
      <c r="AC13" s="4"/>
      <c r="AD13" s="9" t="s">
        <v>38</v>
      </c>
      <c r="AE13" s="9"/>
      <c r="AF13" s="4"/>
      <c r="AG13" s="4">
        <v>0</v>
      </c>
      <c r="AH13" s="4"/>
      <c r="AI13" s="4">
        <v>0</v>
      </c>
      <c r="AJ13" s="4"/>
    </row>
    <row r="14" spans="1:36">
      <c r="A14" s="3" t="s">
        <v>63</v>
      </c>
      <c r="B14" s="4" t="str">
        <f t="shared" si="0"/>
        <v>BIDDING_MANAGEMENT_RECORD.f13</v>
      </c>
      <c r="C14" s="4" t="s">
        <v>75</v>
      </c>
      <c r="D14" s="4" t="s">
        <v>87</v>
      </c>
      <c r="E14" s="4" t="s">
        <v>87</v>
      </c>
      <c r="F14" s="3" t="s">
        <v>63</v>
      </c>
      <c r="G14" s="4">
        <v>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0</v>
      </c>
      <c r="N14" s="4">
        <v>0</v>
      </c>
      <c r="O14" s="4"/>
      <c r="P14" s="4"/>
      <c r="Q14" s="4"/>
      <c r="R14" s="4"/>
      <c r="S14" s="4">
        <v>4</v>
      </c>
      <c r="T14" s="4">
        <v>50</v>
      </c>
      <c r="U14" s="4">
        <v>0</v>
      </c>
      <c r="V14" s="4"/>
      <c r="W14" s="7" t="s">
        <v>101</v>
      </c>
      <c r="X14" s="4">
        <v>0</v>
      </c>
      <c r="Y14" s="1">
        <v>4</v>
      </c>
      <c r="Z14" s="4" t="s">
        <v>102</v>
      </c>
      <c r="AA14" s="4">
        <v>2</v>
      </c>
      <c r="AB14" s="4">
        <v>20013</v>
      </c>
      <c r="AC14" s="4"/>
      <c r="AD14" s="9" t="s">
        <v>38</v>
      </c>
      <c r="AE14" s="9"/>
      <c r="AF14" s="4"/>
      <c r="AG14" s="4">
        <v>0</v>
      </c>
      <c r="AH14" s="4"/>
      <c r="AI14" s="4">
        <v>0</v>
      </c>
      <c r="AJ14" s="4"/>
    </row>
    <row r="15" spans="1:36">
      <c r="A15" s="3" t="s">
        <v>64</v>
      </c>
      <c r="B15" s="4" t="str">
        <f t="shared" si="0"/>
        <v>BIDDING_MANAGEMENT_RECORD.f14</v>
      </c>
      <c r="C15" s="4" t="s">
        <v>75</v>
      </c>
      <c r="D15" s="4" t="s">
        <v>88</v>
      </c>
      <c r="E15" s="4" t="s">
        <v>88</v>
      </c>
      <c r="F15" s="3" t="s">
        <v>64</v>
      </c>
      <c r="G15" s="4">
        <v>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  <c r="O15" s="4"/>
      <c r="P15" s="4"/>
      <c r="Q15" s="4"/>
      <c r="R15" s="4"/>
      <c r="S15" s="4">
        <v>4</v>
      </c>
      <c r="T15" s="4">
        <v>50</v>
      </c>
      <c r="U15" s="4">
        <v>0</v>
      </c>
      <c r="V15" s="4"/>
      <c r="W15" s="11" t="s">
        <v>0</v>
      </c>
      <c r="X15" s="4">
        <v>0</v>
      </c>
      <c r="Y15" s="1">
        <v>4</v>
      </c>
      <c r="Z15" s="4" t="s">
        <v>102</v>
      </c>
      <c r="AA15" s="4">
        <v>2</v>
      </c>
      <c r="AB15" s="4">
        <v>20014</v>
      </c>
      <c r="AC15" s="4"/>
      <c r="AD15" s="9" t="s">
        <v>38</v>
      </c>
      <c r="AE15" s="9"/>
      <c r="AF15" s="4"/>
      <c r="AG15" s="4">
        <v>0</v>
      </c>
      <c r="AH15" s="4"/>
      <c r="AI15" s="4">
        <v>0</v>
      </c>
      <c r="AJ15" s="4"/>
    </row>
    <row r="16" spans="1:36">
      <c r="A16" s="3" t="s">
        <v>65</v>
      </c>
      <c r="B16" s="4" t="str">
        <f t="shared" si="0"/>
        <v>BIDDING_MANAGEMENT_RECORD.f15</v>
      </c>
      <c r="C16" s="4" t="s">
        <v>75</v>
      </c>
      <c r="D16" s="4" t="s">
        <v>89</v>
      </c>
      <c r="E16" s="4" t="s">
        <v>89</v>
      </c>
      <c r="F16" s="3" t="s">
        <v>65</v>
      </c>
      <c r="G16" s="4">
        <v>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4"/>
      <c r="P16" s="4"/>
      <c r="Q16" s="4"/>
      <c r="R16" s="4"/>
      <c r="S16" s="4">
        <v>4</v>
      </c>
      <c r="T16" s="4">
        <v>50</v>
      </c>
      <c r="U16" s="4">
        <v>0</v>
      </c>
      <c r="V16" s="4"/>
      <c r="W16" s="11" t="s">
        <v>0</v>
      </c>
      <c r="X16" s="4">
        <v>0</v>
      </c>
      <c r="Y16" s="1">
        <v>4</v>
      </c>
      <c r="Z16" s="4" t="s">
        <v>102</v>
      </c>
      <c r="AA16" s="4">
        <v>2</v>
      </c>
      <c r="AB16" s="4">
        <v>20015</v>
      </c>
      <c r="AC16" s="4"/>
      <c r="AD16" s="9" t="s">
        <v>38</v>
      </c>
      <c r="AE16" s="9"/>
      <c r="AF16" s="4"/>
      <c r="AG16" s="4">
        <v>0</v>
      </c>
      <c r="AH16" s="4"/>
      <c r="AI16" s="4">
        <v>0</v>
      </c>
      <c r="AJ16" s="4"/>
    </row>
    <row r="17" spans="1:36">
      <c r="A17" s="3" t="s">
        <v>1</v>
      </c>
      <c r="B17" s="4" t="str">
        <f>C17&amp;"."&amp;D17</f>
        <v>BIDDING_MANAGEMENT_RECORD.projectManager</v>
      </c>
      <c r="C17" s="4" t="s">
        <v>75</v>
      </c>
      <c r="D17" s="4" t="s">
        <v>48</v>
      </c>
      <c r="E17" s="4" t="s">
        <v>39</v>
      </c>
      <c r="F17" s="3" t="s">
        <v>1</v>
      </c>
      <c r="G17" s="4">
        <v>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0</v>
      </c>
      <c r="N17" s="4">
        <v>0</v>
      </c>
      <c r="O17" s="4">
        <v>2</v>
      </c>
      <c r="P17" s="4">
        <v>1</v>
      </c>
      <c r="Q17" s="4">
        <v>0</v>
      </c>
      <c r="R17" s="4">
        <v>0</v>
      </c>
      <c r="S17" s="4">
        <v>4</v>
      </c>
      <c r="T17" s="6">
        <v>50</v>
      </c>
      <c r="U17" s="4">
        <v>0</v>
      </c>
      <c r="V17" s="4"/>
      <c r="W17" s="11" t="s">
        <v>0</v>
      </c>
      <c r="X17" s="4">
        <v>0</v>
      </c>
      <c r="Y17" s="1">
        <v>4</v>
      </c>
      <c r="Z17" s="4" t="s">
        <v>102</v>
      </c>
      <c r="AA17" s="4">
        <v>2</v>
      </c>
      <c r="AB17" s="4">
        <v>20016</v>
      </c>
      <c r="AC17" s="4"/>
      <c r="AD17" s="9" t="s">
        <v>38</v>
      </c>
      <c r="AE17" s="9"/>
      <c r="AF17" s="4"/>
      <c r="AG17" s="4">
        <v>0</v>
      </c>
      <c r="AH17" s="4"/>
      <c r="AI17" s="4">
        <v>0</v>
      </c>
      <c r="AJ17" s="4"/>
    </row>
    <row r="18" spans="1:36">
      <c r="A18" s="3" t="s">
        <v>66</v>
      </c>
      <c r="B18" s="4" t="str">
        <f t="shared" si="0"/>
        <v>BIDDING_MANAGEMENT_RECORD.f16</v>
      </c>
      <c r="C18" s="4" t="s">
        <v>75</v>
      </c>
      <c r="D18" s="4" t="s">
        <v>90</v>
      </c>
      <c r="E18" s="4" t="s">
        <v>90</v>
      </c>
      <c r="F18" s="3" t="s">
        <v>66</v>
      </c>
      <c r="G18" s="4">
        <v>0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  <c r="O18" s="4"/>
      <c r="P18" s="4"/>
      <c r="Q18" s="4"/>
      <c r="R18" s="4"/>
      <c r="S18" s="4">
        <v>4</v>
      </c>
      <c r="T18" s="4"/>
      <c r="U18" s="4">
        <v>0</v>
      </c>
      <c r="V18" s="4"/>
      <c r="W18" s="7" t="s">
        <v>101</v>
      </c>
      <c r="X18" s="4">
        <v>0</v>
      </c>
      <c r="Y18" s="1">
        <v>4</v>
      </c>
      <c r="Z18" s="4" t="s">
        <v>102</v>
      </c>
      <c r="AA18" s="4">
        <v>2</v>
      </c>
      <c r="AB18" s="4">
        <v>20017</v>
      </c>
      <c r="AC18" s="4"/>
      <c r="AD18" s="9" t="s">
        <v>38</v>
      </c>
      <c r="AE18" s="9"/>
      <c r="AF18" s="4"/>
      <c r="AG18" s="4">
        <v>0</v>
      </c>
      <c r="AH18" s="4"/>
      <c r="AI18" s="4">
        <v>0</v>
      </c>
      <c r="AJ18" s="4"/>
    </row>
    <row r="19" spans="1:36">
      <c r="A19" s="3" t="s">
        <v>67</v>
      </c>
      <c r="B19" s="4" t="str">
        <f t="shared" si="0"/>
        <v>BIDDING_MANAGEMENT_RECORD.f17</v>
      </c>
      <c r="C19" s="4" t="s">
        <v>75</v>
      </c>
      <c r="D19" s="4" t="s">
        <v>91</v>
      </c>
      <c r="E19" s="4" t="s">
        <v>91</v>
      </c>
      <c r="F19" s="3" t="s">
        <v>67</v>
      </c>
      <c r="G19" s="4">
        <v>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  <c r="O19" s="4"/>
      <c r="P19" s="4"/>
      <c r="Q19" s="4"/>
      <c r="R19" s="4"/>
      <c r="S19" s="4">
        <v>4</v>
      </c>
      <c r="T19" s="4"/>
      <c r="U19" s="4">
        <v>0</v>
      </c>
      <c r="V19" s="4"/>
      <c r="W19" s="11" t="s">
        <v>0</v>
      </c>
      <c r="X19" s="4">
        <v>0</v>
      </c>
      <c r="Y19" s="1">
        <v>4</v>
      </c>
      <c r="Z19" s="4" t="s">
        <v>102</v>
      </c>
      <c r="AA19" s="4">
        <v>2</v>
      </c>
      <c r="AB19" s="4">
        <v>20018</v>
      </c>
      <c r="AC19" s="4"/>
      <c r="AD19" s="9" t="s">
        <v>38</v>
      </c>
      <c r="AE19" s="9"/>
      <c r="AF19" s="4"/>
      <c r="AG19" s="4">
        <v>0</v>
      </c>
      <c r="AH19" s="4"/>
      <c r="AI19" s="4">
        <v>0</v>
      </c>
      <c r="AJ19" s="4"/>
    </row>
    <row r="20" spans="1:36">
      <c r="A20" s="10" t="s">
        <v>47</v>
      </c>
      <c r="B20" s="4" t="str">
        <f>C20&amp;"."&amp;D20</f>
        <v>BIDDING_MANAGEMENT_RECORD.advanceFundsAmount</v>
      </c>
      <c r="C20" s="4" t="s">
        <v>75</v>
      </c>
      <c r="D20" s="4" t="s">
        <v>50</v>
      </c>
      <c r="E20" s="4" t="s">
        <v>44</v>
      </c>
      <c r="F20" s="10" t="s">
        <v>47</v>
      </c>
      <c r="G20" s="4">
        <v>0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0</v>
      </c>
      <c r="N20" s="4">
        <v>0</v>
      </c>
      <c r="O20" s="4"/>
      <c r="P20" s="4"/>
      <c r="Q20" s="4"/>
      <c r="R20" s="4">
        <v>0</v>
      </c>
      <c r="S20" s="4">
        <v>3</v>
      </c>
      <c r="T20" s="9" t="s">
        <v>40</v>
      </c>
      <c r="U20" s="4">
        <v>0</v>
      </c>
      <c r="V20" s="4"/>
      <c r="W20" s="7" t="s">
        <v>41</v>
      </c>
      <c r="X20" s="4">
        <v>0</v>
      </c>
      <c r="Y20" s="1">
        <v>4</v>
      </c>
      <c r="Z20" s="4" t="s">
        <v>102</v>
      </c>
      <c r="AA20" s="4">
        <v>2</v>
      </c>
      <c r="AB20" s="4">
        <v>20019</v>
      </c>
      <c r="AC20" s="4"/>
      <c r="AD20" s="9" t="s">
        <v>38</v>
      </c>
      <c r="AE20" s="9"/>
      <c r="AF20" s="4"/>
      <c r="AG20" s="4">
        <v>0</v>
      </c>
      <c r="AH20" s="4"/>
      <c r="AI20" s="4">
        <v>0</v>
      </c>
      <c r="AJ20" s="4"/>
    </row>
    <row r="21" spans="1:36">
      <c r="A21" s="10" t="s">
        <v>42</v>
      </c>
      <c r="B21" s="4" t="str">
        <f>C21&amp;"."&amp;D21</f>
        <v>BIDDING_MANAGEMENT_RECORD.advanceCycle</v>
      </c>
      <c r="C21" s="4" t="s">
        <v>75</v>
      </c>
      <c r="D21" s="4" t="s">
        <v>49</v>
      </c>
      <c r="E21" s="4" t="s">
        <v>43</v>
      </c>
      <c r="F21" s="10" t="s">
        <v>42</v>
      </c>
      <c r="G21" s="4">
        <v>0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0</v>
      </c>
      <c r="N21" s="4">
        <v>0</v>
      </c>
      <c r="O21" s="4"/>
      <c r="P21" s="4"/>
      <c r="Q21" s="4"/>
      <c r="R21" s="4">
        <v>0</v>
      </c>
      <c r="S21" s="4">
        <v>3</v>
      </c>
      <c r="T21" s="9" t="s">
        <v>40</v>
      </c>
      <c r="U21" s="4">
        <v>0</v>
      </c>
      <c r="V21" s="4"/>
      <c r="W21" s="7" t="s">
        <v>41</v>
      </c>
      <c r="X21" s="4">
        <v>0</v>
      </c>
      <c r="Y21" s="1">
        <v>4</v>
      </c>
      <c r="Z21" s="4" t="s">
        <v>102</v>
      </c>
      <c r="AA21" s="4">
        <v>2</v>
      </c>
      <c r="AB21" s="4">
        <v>20020</v>
      </c>
      <c r="AC21" s="4"/>
      <c r="AD21" s="9" t="s">
        <v>38</v>
      </c>
      <c r="AE21" s="9"/>
      <c r="AF21" s="4"/>
      <c r="AG21" s="4">
        <v>0</v>
      </c>
      <c r="AH21" s="4"/>
      <c r="AI21" s="4">
        <v>0</v>
      </c>
      <c r="AJ21" s="4"/>
    </row>
    <row r="22" spans="1:36">
      <c r="A22" s="10" t="s">
        <v>46</v>
      </c>
      <c r="B22" s="4" t="str">
        <f>C22&amp;"."&amp;D22</f>
        <v>BIDDING_MANAGEMENT_RECORD.profitMargin</v>
      </c>
      <c r="C22" s="4" t="s">
        <v>75</v>
      </c>
      <c r="D22" s="4" t="s">
        <v>45</v>
      </c>
      <c r="E22" s="4" t="s">
        <v>45</v>
      </c>
      <c r="F22" s="10" t="s">
        <v>46</v>
      </c>
      <c r="G22" s="4">
        <v>0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0</v>
      </c>
      <c r="N22" s="4">
        <v>0</v>
      </c>
      <c r="O22" s="4"/>
      <c r="P22" s="4"/>
      <c r="Q22" s="4"/>
      <c r="R22" s="4">
        <v>0</v>
      </c>
      <c r="S22" s="4">
        <v>3</v>
      </c>
      <c r="T22" s="9" t="s">
        <v>40</v>
      </c>
      <c r="U22" s="4">
        <v>0</v>
      </c>
      <c r="V22" s="4"/>
      <c r="W22" s="7" t="s">
        <v>41</v>
      </c>
      <c r="X22" s="4">
        <v>0</v>
      </c>
      <c r="Y22" s="1">
        <v>4</v>
      </c>
      <c r="Z22" s="4" t="s">
        <v>102</v>
      </c>
      <c r="AA22" s="4">
        <v>2</v>
      </c>
      <c r="AB22" s="4">
        <v>20021</v>
      </c>
      <c r="AC22" s="4"/>
      <c r="AD22" s="9" t="s">
        <v>38</v>
      </c>
      <c r="AE22" s="9"/>
      <c r="AF22" s="4"/>
      <c r="AG22" s="4">
        <v>0</v>
      </c>
      <c r="AH22" s="4"/>
      <c r="AI22" s="4">
        <v>0</v>
      </c>
      <c r="AJ22" s="4"/>
    </row>
    <row r="23" spans="1:36">
      <c r="A23" s="10" t="s">
        <v>68</v>
      </c>
      <c r="B23" s="4" t="str">
        <f t="shared" ref="B23:B29" si="1">C23&amp;"."&amp;D23</f>
        <v>BIDDING_MANAGEMENT_RECORD.f17</v>
      </c>
      <c r="C23" s="4" t="s">
        <v>75</v>
      </c>
      <c r="D23" s="4" t="s">
        <v>91</v>
      </c>
      <c r="E23" s="4" t="s">
        <v>91</v>
      </c>
      <c r="F23" s="10" t="s">
        <v>68</v>
      </c>
      <c r="G23" s="4">
        <v>0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0</v>
      </c>
      <c r="N23" s="4">
        <v>0</v>
      </c>
      <c r="O23" s="4"/>
      <c r="P23" s="4"/>
      <c r="Q23" s="4"/>
      <c r="R23" s="4"/>
      <c r="S23" s="4">
        <v>4</v>
      </c>
      <c r="T23" s="9"/>
      <c r="U23" s="4">
        <v>0</v>
      </c>
      <c r="V23" s="4"/>
      <c r="W23" s="11" t="s">
        <v>0</v>
      </c>
      <c r="X23" s="4">
        <v>0</v>
      </c>
      <c r="Y23" s="1">
        <v>4</v>
      </c>
      <c r="Z23" s="4" t="s">
        <v>102</v>
      </c>
      <c r="AA23" s="4">
        <v>2</v>
      </c>
      <c r="AB23" s="4">
        <v>20022</v>
      </c>
      <c r="AC23" s="4"/>
      <c r="AD23" s="9" t="s">
        <v>38</v>
      </c>
      <c r="AE23" s="9"/>
      <c r="AF23" s="4"/>
      <c r="AG23" s="4">
        <v>0</v>
      </c>
      <c r="AH23" s="4"/>
      <c r="AI23" s="4">
        <v>0</v>
      </c>
      <c r="AJ23" s="4"/>
    </row>
    <row r="24" spans="1:36">
      <c r="A24" s="10" t="s">
        <v>69</v>
      </c>
      <c r="B24" s="4" t="str">
        <f t="shared" si="1"/>
        <v>BIDDING_MANAGEMENT_RECORD.f18</v>
      </c>
      <c r="C24" s="4" t="s">
        <v>75</v>
      </c>
      <c r="D24" s="4" t="s">
        <v>92</v>
      </c>
      <c r="E24" s="4" t="s">
        <v>92</v>
      </c>
      <c r="F24" s="10" t="s">
        <v>69</v>
      </c>
      <c r="G24" s="4">
        <v>0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0</v>
      </c>
      <c r="N24" s="4">
        <v>0</v>
      </c>
      <c r="O24" s="4"/>
      <c r="P24" s="4"/>
      <c r="Q24" s="4"/>
      <c r="R24" s="4"/>
      <c r="S24" s="4">
        <v>4</v>
      </c>
      <c r="T24" s="9"/>
      <c r="U24" s="4">
        <v>0</v>
      </c>
      <c r="V24" s="4"/>
      <c r="W24" s="11" t="s">
        <v>0</v>
      </c>
      <c r="X24" s="4">
        <v>0</v>
      </c>
      <c r="Y24" s="1">
        <v>4</v>
      </c>
      <c r="Z24" s="4" t="s">
        <v>102</v>
      </c>
      <c r="AA24" s="4">
        <v>2</v>
      </c>
      <c r="AB24" s="4">
        <v>20023</v>
      </c>
      <c r="AC24" s="4"/>
      <c r="AD24" s="9" t="s">
        <v>38</v>
      </c>
      <c r="AE24" s="9"/>
      <c r="AF24" s="4"/>
      <c r="AG24" s="4">
        <v>0</v>
      </c>
      <c r="AH24" s="4"/>
      <c r="AI24" s="4">
        <v>0</v>
      </c>
      <c r="AJ24" s="4"/>
    </row>
    <row r="25" spans="1:36">
      <c r="A25" s="3" t="s">
        <v>70</v>
      </c>
      <c r="B25" s="4" t="str">
        <f t="shared" si="1"/>
        <v>BIDDING_MANAGEMENT_RECORD.f19</v>
      </c>
      <c r="C25" s="4" t="s">
        <v>75</v>
      </c>
      <c r="D25" s="4" t="s">
        <v>93</v>
      </c>
      <c r="E25" s="4" t="s">
        <v>93</v>
      </c>
      <c r="F25" s="3" t="s">
        <v>70</v>
      </c>
      <c r="G25" s="4">
        <v>0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0</v>
      </c>
      <c r="N25" s="4">
        <v>0</v>
      </c>
      <c r="O25" s="4"/>
      <c r="P25" s="4"/>
      <c r="Q25" s="4"/>
      <c r="R25" s="4"/>
      <c r="S25" s="4">
        <v>3</v>
      </c>
      <c r="T25" s="9" t="s">
        <v>40</v>
      </c>
      <c r="U25" s="4">
        <v>0</v>
      </c>
      <c r="V25" s="4"/>
      <c r="W25" s="11" t="s">
        <v>0</v>
      </c>
      <c r="X25" s="4">
        <v>0</v>
      </c>
      <c r="Y25" s="1">
        <v>4</v>
      </c>
      <c r="Z25" s="4" t="s">
        <v>102</v>
      </c>
      <c r="AA25" s="4">
        <v>2</v>
      </c>
      <c r="AB25" s="4">
        <v>20024</v>
      </c>
      <c r="AC25" s="4"/>
      <c r="AD25" s="9" t="s">
        <v>38</v>
      </c>
      <c r="AE25" s="9"/>
      <c r="AF25" s="4"/>
      <c r="AG25" s="4">
        <v>0</v>
      </c>
      <c r="AH25" s="4"/>
      <c r="AI25" s="4">
        <v>0</v>
      </c>
      <c r="AJ25" s="4"/>
    </row>
    <row r="26" spans="1:36">
      <c r="A26" s="3" t="s">
        <v>71</v>
      </c>
      <c r="B26" s="4" t="str">
        <f t="shared" si="1"/>
        <v>BIDDING_MANAGEMENT_RECORD.f20</v>
      </c>
      <c r="C26" s="4" t="s">
        <v>75</v>
      </c>
      <c r="D26" s="4" t="s">
        <v>94</v>
      </c>
      <c r="E26" s="4" t="s">
        <v>94</v>
      </c>
      <c r="F26" s="3" t="s">
        <v>71</v>
      </c>
      <c r="G26" s="4">
        <v>0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0</v>
      </c>
      <c r="N26" s="4">
        <v>0</v>
      </c>
      <c r="O26" s="4"/>
      <c r="P26" s="4"/>
      <c r="Q26" s="4"/>
      <c r="R26" s="4"/>
      <c r="S26" s="4">
        <v>4</v>
      </c>
      <c r="T26" s="4">
        <v>250</v>
      </c>
      <c r="U26" s="4">
        <v>0</v>
      </c>
      <c r="V26" s="4"/>
      <c r="W26" s="11" t="s">
        <v>98</v>
      </c>
      <c r="X26" s="4">
        <v>0</v>
      </c>
      <c r="Y26" s="1">
        <v>10</v>
      </c>
      <c r="Z26" s="4" t="s">
        <v>102</v>
      </c>
      <c r="AA26" s="4">
        <v>2</v>
      </c>
      <c r="AB26" s="4">
        <v>20025</v>
      </c>
      <c r="AC26" s="4"/>
      <c r="AD26" s="9" t="s">
        <v>38</v>
      </c>
      <c r="AE26" s="9"/>
      <c r="AF26" s="4"/>
      <c r="AG26" s="4">
        <v>0</v>
      </c>
      <c r="AH26" s="4"/>
      <c r="AI26" s="4">
        <v>0</v>
      </c>
      <c r="AJ26" s="4"/>
    </row>
    <row r="27" spans="1:36">
      <c r="A27" s="3" t="s">
        <v>72</v>
      </c>
      <c r="B27" s="4" t="str">
        <f t="shared" si="1"/>
        <v>BIDDING_MANAGEMENT_RECORD.f21</v>
      </c>
      <c r="C27" s="4" t="s">
        <v>75</v>
      </c>
      <c r="D27" s="4" t="s">
        <v>95</v>
      </c>
      <c r="E27" s="4" t="s">
        <v>95</v>
      </c>
      <c r="F27" s="3" t="s">
        <v>72</v>
      </c>
      <c r="G27" s="4">
        <v>0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0</v>
      </c>
      <c r="N27" s="4">
        <v>0</v>
      </c>
      <c r="O27" s="4"/>
      <c r="P27" s="4"/>
      <c r="Q27" s="4"/>
      <c r="R27" s="4"/>
      <c r="S27" s="4">
        <v>4</v>
      </c>
      <c r="T27" s="4">
        <v>250</v>
      </c>
      <c r="U27" s="4">
        <v>0</v>
      </c>
      <c r="V27" s="4"/>
      <c r="W27" s="11" t="s">
        <v>98</v>
      </c>
      <c r="X27" s="4">
        <v>0</v>
      </c>
      <c r="Y27" s="1">
        <v>10</v>
      </c>
      <c r="Z27" s="4" t="s">
        <v>102</v>
      </c>
      <c r="AA27" s="4">
        <v>2</v>
      </c>
      <c r="AB27" s="4">
        <v>20026</v>
      </c>
      <c r="AC27" s="4"/>
      <c r="AD27" s="9" t="s">
        <v>38</v>
      </c>
      <c r="AE27" s="9"/>
      <c r="AF27" s="4"/>
      <c r="AG27" s="4">
        <v>0</v>
      </c>
      <c r="AH27" s="4"/>
      <c r="AI27" s="4">
        <v>0</v>
      </c>
      <c r="AJ27" s="4"/>
    </row>
    <row r="28" spans="1:36">
      <c r="A28" s="3" t="s">
        <v>73</v>
      </c>
      <c r="B28" s="4" t="str">
        <f t="shared" si="1"/>
        <v>BIDDING_MANAGEMENT_RECORD.f22</v>
      </c>
      <c r="C28" s="4" t="s">
        <v>75</v>
      </c>
      <c r="D28" s="4" t="s">
        <v>96</v>
      </c>
      <c r="E28" s="4" t="s">
        <v>96</v>
      </c>
      <c r="F28" s="3" t="s">
        <v>73</v>
      </c>
      <c r="G28" s="4">
        <v>0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0</v>
      </c>
      <c r="N28" s="4">
        <v>0</v>
      </c>
      <c r="O28" s="4"/>
      <c r="P28" s="4"/>
      <c r="Q28" s="4"/>
      <c r="R28" s="4"/>
      <c r="S28" s="4">
        <v>4</v>
      </c>
      <c r="T28" s="4">
        <v>250</v>
      </c>
      <c r="U28" s="4">
        <v>0</v>
      </c>
      <c r="V28" s="4"/>
      <c r="W28" s="11" t="s">
        <v>98</v>
      </c>
      <c r="X28" s="4">
        <v>0</v>
      </c>
      <c r="Y28" s="1">
        <v>10</v>
      </c>
      <c r="Z28" s="4" t="s">
        <v>102</v>
      </c>
      <c r="AA28" s="4">
        <v>2</v>
      </c>
      <c r="AB28" s="4">
        <v>20027</v>
      </c>
      <c r="AC28" s="4"/>
      <c r="AD28" s="9" t="s">
        <v>38</v>
      </c>
      <c r="AE28" s="9"/>
      <c r="AF28" s="4"/>
      <c r="AG28" s="4">
        <v>0</v>
      </c>
      <c r="AH28" s="4"/>
      <c r="AI28" s="4">
        <v>0</v>
      </c>
      <c r="AJ28" s="4"/>
    </row>
    <row r="29" spans="1:36">
      <c r="A29" s="3" t="s">
        <v>74</v>
      </c>
      <c r="B29" s="4" t="str">
        <f t="shared" si="1"/>
        <v>BIDDING_MANAGEMENT_RECORD.f23</v>
      </c>
      <c r="C29" s="4" t="s">
        <v>75</v>
      </c>
      <c r="D29" s="4" t="s">
        <v>97</v>
      </c>
      <c r="E29" s="4" t="s">
        <v>97</v>
      </c>
      <c r="F29" s="3" t="s">
        <v>74</v>
      </c>
      <c r="G29" s="4">
        <v>0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0</v>
      </c>
      <c r="N29" s="4">
        <v>0</v>
      </c>
      <c r="O29" s="4"/>
      <c r="P29" s="4"/>
      <c r="Q29" s="4"/>
      <c r="R29" s="4"/>
      <c r="S29" s="4">
        <v>4</v>
      </c>
      <c r="T29" s="4"/>
      <c r="U29" s="4">
        <v>0</v>
      </c>
      <c r="V29" s="4"/>
      <c r="W29" s="11" t="s">
        <v>99</v>
      </c>
      <c r="X29" s="4">
        <v>0</v>
      </c>
      <c r="Y29" s="1">
        <v>10</v>
      </c>
      <c r="Z29" s="4" t="s">
        <v>102</v>
      </c>
      <c r="AA29" s="4">
        <v>2</v>
      </c>
      <c r="AB29" s="4">
        <v>20028</v>
      </c>
      <c r="AC29" s="4"/>
      <c r="AD29" s="9" t="s">
        <v>38</v>
      </c>
      <c r="AE29" s="9"/>
      <c r="AF29" s="4"/>
      <c r="AG29" s="4">
        <v>0</v>
      </c>
      <c r="AH29" s="4"/>
      <c r="AI29" s="4">
        <v>0</v>
      </c>
      <c r="AJ29" s="4"/>
    </row>
    <row r="30" spans="1:36">
      <c r="A30" s="3"/>
      <c r="B30" s="4"/>
      <c r="C30" s="4"/>
      <c r="D30" s="4"/>
      <c r="E30" s="4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7"/>
      <c r="X30" s="4"/>
      <c r="Y30" s="1"/>
      <c r="Z30" s="4"/>
      <c r="AA30" s="4"/>
      <c r="AB30" s="4"/>
      <c r="AC30" s="4"/>
      <c r="AD30" s="9"/>
      <c r="AE30" s="9"/>
      <c r="AF30" s="4"/>
      <c r="AG30" s="4"/>
      <c r="AH30" s="4"/>
      <c r="AI30" s="4"/>
      <c r="AJ30" s="4"/>
    </row>
    <row r="31" spans="1:36">
      <c r="A31" s="10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7"/>
      <c r="X31" s="4"/>
      <c r="Y31" s="8"/>
      <c r="Z31" s="4"/>
      <c r="AA31" s="4"/>
      <c r="AB31" s="4"/>
      <c r="AC31" s="4"/>
      <c r="AD31" s="9"/>
      <c r="AE31" s="9"/>
      <c r="AF31" s="4"/>
      <c r="AG31" s="4"/>
      <c r="AH31" s="4"/>
      <c r="AI31" s="4"/>
      <c r="AJ31" s="4"/>
    </row>
    <row r="32" spans="1:36">
      <c r="A32" s="10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7"/>
      <c r="X32" s="4"/>
      <c r="Y32" s="8"/>
      <c r="Z32" s="4"/>
      <c r="AA32" s="4"/>
      <c r="AB32" s="4"/>
      <c r="AC32" s="4"/>
      <c r="AD32" s="9"/>
      <c r="AE32" s="9"/>
      <c r="AF32" s="4"/>
      <c r="AG32" s="4"/>
      <c r="AH32" s="4"/>
      <c r="AI32" s="4"/>
      <c r="AJ32" s="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2019-08-10T12:26:54Z</dcterms:modified>
</cp:coreProperties>
</file>